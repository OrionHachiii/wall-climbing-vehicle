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324a0a1b7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35803b6ea63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9546D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287271"/>
      </x:patternFill>
    </x:fill>
    <x:fill>
      <x:patternFill patternType="solid">
        <x:fgColor rgb="FFF3F7FA"/>
      </x:patternFill>
    </x:fill>
  </x:fills>
  <x:borders count="14">
    <x:border/>
    <x:border>
      <x:left style="medium">
        <x:color rgb="FF1E5554"/>
      </x:left>
      <x:top style="medium">
        <x:color rgb="FF1E5554"/>
      </x:top>
      <x:bottom style="medium">
        <x:color rgb="FF1E5554"/>
      </x:bottom>
    </x:border>
    <x:border>
      <x:top style="medium">
        <x:color rgb="FF1E5554"/>
      </x:top>
      <x:bottom style="medium">
        <x:color rgb="FF1E5554"/>
      </x:bottom>
    </x:border>
    <x:border>
      <x:right style="medium">
        <x:color rgb="FF1E5554"/>
      </x:right>
      <x:top style="medium">
        <x:color rgb="FF1E5554"/>
      </x:top>
      <x:bottom style="medium">
        <x:color rgb="FF1E5554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bottom style="double">
        <x:color rgb="FF28727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3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5" borderId="1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1" fontId="0" fillId="0" borderId="7" xfId="0" applyNumberFormat="1" applyFont="1" applyFill="1" applyBorder="1" applyAlignment="1">
      <x:alignment horizontal="center" vertical="center"/>
    </x:xf>
    <x:xf numFmtId="201" fontId="0" fillId="0" borderId="10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horizontal="center"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horizontal="right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4" fillId="5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2342f52bd47f4" /><Relationship Type="http://schemas.openxmlformats.org/officeDocument/2006/relationships/theme" Target="/xl/theme/theme1.xml" Id="R429bc3855ac84bd2" /><Relationship Type="http://schemas.openxmlformats.org/officeDocument/2006/relationships/sharedStrings" Target="/xl/sharedStrings.xml" Id="R429d47304edd4642" /><Relationship Type="http://schemas.openxmlformats.org/officeDocument/2006/relationships/worksheet" Target="/xl/worksheets/sheet1.xml" Id="Rb35803b6ea63449f" /></Relationships>
</file>

<file path=xl/tables/table1.xml><?xml version="1.0" encoding="utf-8"?>
<x:table xmlns:x="http://schemas.openxmlformats.org/spreadsheetml/2006/main" id="1" name="VehicleBOM" displayName="VehicleBOM" ref="A4:H17" headerRowCount="1" totalsRowCount="0" totalsRowShown="0">
  <x:tableColumns count="8">
    <x:tableColumn id="1" name="Item"/>
    <x:tableColumn id="2" name="Component"/>
    <x:tableColumn id="3" name="Qty"/>
    <x:tableColumn id="4" name="Unit Cost"/>
    <x:tableColumn id="5" name="Subtotal"/>
    <x:tableColumn id="6" name="Specification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6ea6381524e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8" hidden="0" customWidth="1"/>
    <x:col min="4" max="4" width="13" hidden="0" customWidth="1"/>
    <x:col min="5" max="5" width="13" hidden="0" customWidth="1"/>
    <x:col min="6" max="6" width="35" hidden="0" customWidth="1"/>
    <x:col min="7" max="7" width="14" hidden="0" customWidth="1"/>
    <x:col min="8" max="8" width="30" hidden="0" customWidth="1"/>
  </x:cols>
  <x:sheetData>
    <x:row r="1" ht="32" customHeight="1">
      <x:c r="A1" s="4" t="str">
        <x:v>Wall-Climbing Vehicle — Bill of Materials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ENGR 7 prototype | Costs shown in USD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Item</x:v>
      </x:c>
      <x:c r="B4" s="20" t="str">
        <x:v>Component</x:v>
      </x:c>
      <x:c r="C4" s="20" t="str">
        <x:v>Qty</x:v>
      </x:c>
      <x:c r="D4" s="20" t="str">
        <x:v>Unit Cost</x:v>
      </x:c>
      <x:c r="E4" s="20" t="str">
        <x:v>Subtotal</x:v>
      </x:c>
      <x:c r="F4" s="20" t="str">
        <x:v>Specification</x:v>
      </x:c>
      <x:c r="G4" s="20" t="str">
        <x:v>Status</x:v>
      </x:c>
      <x:c r="H4" s="21" t="str">
        <x:v>Notes</x:v>
      </x:c>
    </x:row>
    <x:row r="5" ht="28" customHeight="1">
      <x:c r="A5" s="61" t="n">
        <x:v>1</x:v>
      </x:c>
      <x:c r="B5" s="32" t="str">
        <x:v>DC gear motor and wheel</x:v>
      </x:c>
      <x:c r="C5" s="64" t="n">
        <x:v>4</x:v>
      </x:c>
      <x:c r="D5" s="67" t="n">
        <x:v>3.75</x:v>
      </x:c>
      <x:c r="E5" s="67" t="n">
        <x:f>IF(C5="",D5,C5*D5)</x:f>
        <x:v>15</x:v>
      </x:c>
      <x:c r="F5" s="40" t="str">
        <x:v>3–6 V, about 200 RPM</x:v>
      </x:c>
      <x:c r="G5" s="40" t="str">
        <x:v>Used</x:v>
      </x:c>
      <x:c r="H5" s="41" t="str">
        <x:v>Four-wheel drive</x:v>
      </x:c>
    </x:row>
    <x:row r="6" ht="28" customHeight="1">
      <x:c r="A6" s="62" t="n">
        <x:v>2</x:v>
      </x:c>
      <x:c r="B6" s="35" t="str">
        <x:v>Brushed motor speed controller</x:v>
      </x:c>
      <x:c r="C6" s="65" t="n">
        <x:v>2</x:v>
      </x:c>
      <x:c r="D6" s="68" t="n">
        <x:v>7.4</x:v>
      </x:c>
      <x:c r="E6" s="68" t="n">
        <x:f>IF(C6="",D6,C6*D6)</x:f>
        <x:v>14.8</x:v>
      </x:c>
      <x:c r="F6" s="42" t="str">
        <x:v>Dual-channel, 7.4 V, 5 A per channel</x:v>
      </x:c>
      <x:c r="G6" s="42" t="str">
        <x:v>Used</x:v>
      </x:c>
      <x:c r="H6" s="43" t="str">
        <x:v>One per side</x:v>
      </x:c>
    </x:row>
    <x:row r="7" ht="28" customHeight="1">
      <x:c r="A7" s="62" t="n">
        <x:v>3</x:v>
      </x:c>
      <x:c r="B7" s="35" t="str">
        <x:v>Brushless motor</x:v>
      </x:c>
      <x:c r="C7" s="65" t="n">
        <x:v>1</x:v>
      </x:c>
      <x:c r="D7" s="68" t="n">
        <x:v>10</x:v>
      </x:c>
      <x:c r="E7" s="68" t="n">
        <x:f>IF(C7="",D7,C7*D7)</x:f>
        <x:v>10</x:v>
      </x:c>
      <x:c r="F7" s="42" t="str">
        <x:v>2204 / 2,100–2,300 KV class</x:v>
      </x:c>
      <x:c r="G7" s="42" t="str">
        <x:v>Used</x:v>
      </x:c>
      <x:c r="H7" s="43" t="str">
        <x:v>Adhesion fan</x:v>
      </x:c>
    </x:row>
    <x:row r="8" ht="28" customHeight="1">
      <x:c r="A8" s="62" t="n">
        <x:v>4</x:v>
      </x:c>
      <x:c r="B8" s="35" t="str">
        <x:v>Brushless ESC</x:v>
      </x:c>
      <x:c r="C8" s="65" t="n">
        <x:v>1</x:v>
      </x:c>
      <x:c r="D8" s="68" t="n">
        <x:v>10</x:v>
      </x:c>
      <x:c r="E8" s="68" t="n">
        <x:f>IF(C8="",D8,C8*D8)</x:f>
        <x:v>10</x:v>
      </x:c>
      <x:c r="F8" s="42" t="str">
        <x:v>30 A</x:v>
      </x:c>
      <x:c r="G8" s="42" t="str">
        <x:v>Used</x:v>
      </x:c>
      <x:c r="H8" s="43" t="str">
        <x:v>Fan motor controller</x:v>
      </x:c>
    </x:row>
    <x:row r="9" ht="28" customHeight="1">
      <x:c r="A9" s="62" t="n">
        <x:v>5</x:v>
      </x:c>
      <x:c r="B9" s="35" t="str">
        <x:v>Propeller</x:v>
      </x:c>
      <x:c r="C9" s="65" t="n">
        <x:v>1</x:v>
      </x:c>
      <x:c r="D9" s="68" t="n">
        <x:v>1.5</x:v>
      </x:c>
      <x:c r="E9" s="68" t="n">
        <x:f>IF(C9="",D9,C9*D9)</x:f>
        <x:v>1.5</x:v>
      </x:c>
      <x:c r="F9" s="42" t="str">
        <x:v>6040 / 6040x3</x:v>
      </x:c>
      <x:c r="G9" s="42" t="str">
        <x:v>Used</x:v>
      </x:c>
      <x:c r="H9" s="43" t="str">
        <x:v>Fan propeller</x:v>
      </x:c>
    </x:row>
    <x:row r="10" ht="28" customHeight="1">
      <x:c r="A10" s="62" t="n">
        <x:v>6</x:v>
      </x:c>
      <x:c r="B10" s="35" t="str">
        <x:v>Drive LiPo battery</x:v>
      </x:c>
      <x:c r="C10" s="65" t="n">
        <x:v>1</x:v>
      </x:c>
      <x:c r="D10" s="68" t="n">
        <x:v>8</x:v>
      </x:c>
      <x:c r="E10" s="68" t="n">
        <x:f>IF(C10="",D10,C10*D10)</x:f>
        <x:v>8</x:v>
      </x:c>
      <x:c r="F10" s="42" t="str">
        <x:v>2S, 7.4 V, 450–460 mAh</x:v>
      </x:c>
      <x:c r="G10" s="42" t="str">
        <x:v>Used</x:v>
      </x:c>
      <x:c r="H10" s="43" t="str">
        <x:v>Drive system</x:v>
      </x:c>
    </x:row>
    <x:row r="11" ht="28" customHeight="1">
      <x:c r="A11" s="62" t="n">
        <x:v>7</x:v>
      </x:c>
      <x:c r="B11" s="35" t="str">
        <x:v>Fan LiPo battery</x:v>
      </x:c>
      <x:c r="C11" s="65" t="n">
        <x:v>1</x:v>
      </x:c>
      <x:c r="D11" s="68" t="n">
        <x:v>11.3</x:v>
      </x:c>
      <x:c r="E11" s="68" t="n">
        <x:f>IF(C11="",D11,C11*D11)</x:f>
        <x:v>11.3</x:v>
      </x:c>
      <x:c r="F11" s="42" t="str">
        <x:v>4S, 14.8 V, 1,100–1,300 mAh</x:v>
      </x:c>
      <x:c r="G11" s="42" t="str">
        <x:v>Used</x:v>
      </x:c>
      <x:c r="H11" s="43" t="str">
        <x:v>Fan system</x:v>
      </x:c>
    </x:row>
    <x:row r="12" ht="28" customHeight="1">
      <x:c r="A12" s="62" t="n">
        <x:v>8</x:v>
      </x:c>
      <x:c r="B12" s="35" t="str">
        <x:v>RC receiver</x:v>
      </x:c>
      <x:c r="C12" s="65" t="n">
        <x:v>1</x:v>
      </x:c>
      <x:c r="D12" s="68" t="n">
        <x:v>23.8</x:v>
      </x:c>
      <x:c r="E12" s="68" t="n">
        <x:f>IF(C12="",D12,C12*D12)</x:f>
        <x:v>23.8</x:v>
      </x:c>
      <x:c r="F12" s="42" t="str">
        <x:v>FlySky FS-iA6B, 2.4 GHz</x:v>
      </x:c>
      <x:c r="G12" s="42" t="str">
        <x:v>Used</x:v>
      </x:c>
      <x:c r="H12" s="43" t="str">
        <x:v>Remote control</x:v>
      </x:c>
    </x:row>
    <x:row r="13" ht="28" customHeight="1">
      <x:c r="A13" s="62" t="n">
        <x:v>9</x:v>
      </x:c>
      <x:c r="B13" s="35" t="str">
        <x:v>Laser-cut chassis</x:v>
      </x:c>
      <x:c r="C13" s="65" t="n">
        <x:v>1</x:v>
      </x:c>
      <x:c r="D13" s="68" t="n">
        <x:v>5</x:v>
      </x:c>
      <x:c r="E13" s="68" t="n">
        <x:f>IF(C13="",D13,C13*D13)</x:f>
        <x:v>5</x:v>
      </x:c>
      <x:c r="F13" s="42" t="str">
        <x:v>3 mm acrylic</x:v>
      </x:c>
      <x:c r="G13" s="42" t="str">
        <x:v>Fabricated</x:v>
      </x:c>
      <x:c r="H13" s="43" t="str">
        <x:v>Final revised design</x:v>
      </x:c>
    </x:row>
    <x:row r="14" ht="28" customHeight="1">
      <x:c r="A14" s="62" t="n">
        <x:v>10</x:v>
      </x:c>
      <x:c r="B14" s="35" t="str">
        <x:v>3D-printed shroud</x:v>
      </x:c>
      <x:c r="C14" s="65" t="n">
        <x:v>1</x:v>
      </x:c>
      <x:c r="D14" s="68" t="n">
        <x:v>4</x:v>
      </x:c>
      <x:c r="E14" s="68" t="n">
        <x:f>IF(C14="",D14,C14*D14)</x:f>
        <x:v>4</x:v>
      </x:c>
      <x:c r="F14" s="42" t="str">
        <x:v>PLA</x:v>
      </x:c>
      <x:c r="G14" s="42" t="str">
        <x:v>Fabricated</x:v>
      </x:c>
      <x:c r="H14" s="43" t="str">
        <x:v>Fan shroud</x:v>
      </x:c>
    </x:row>
    <x:row r="15" ht="28" customHeight="1">
      <x:c r="A15" s="62" t="n">
        <x:v>11</x:v>
      </x:c>
      <x:c r="B15" s="35" t="str">
        <x:v>Fasteners</x:v>
      </x:c>
      <x:c r="C15" s="65"/>
      <x:c r="D15" s="68" t="n">
        <x:v>3</x:v>
      </x:c>
      <x:c r="E15" s="68" t="n">
        <x:f>IF(C15="",D15,C15*D15)</x:f>
        <x:v>3</x:v>
      </x:c>
      <x:c r="F15" s="42" t="str">
        <x:v>Assorted</x:v>
      </x:c>
      <x:c r="G15" s="42" t="str">
        <x:v>Used</x:v>
      </x:c>
      <x:c r="H15" s="43" t="str">
        <x:v>Estimated lot cost</x:v>
      </x:c>
    </x:row>
    <x:row r="16" ht="28" customHeight="1">
      <x:c r="A16" s="62" t="n">
        <x:v>12</x:v>
      </x:c>
      <x:c r="B16" s="35" t="str">
        <x:v>Zip ties</x:v>
      </x:c>
      <x:c r="C16" s="65" t="n">
        <x:v>8</x:v>
      </x:c>
      <x:c r="D16" s="68" t="n">
        <x:v>0.1</x:v>
      </x:c>
      <x:c r="E16" s="68" t="n">
        <x:f>IF(C16="",D16,C16*D16)</x:f>
        <x:v>0.8</x:v>
      </x:c>
      <x:c r="F16" s="42" t="str">
        <x:v>Assorted</x:v>
      </x:c>
      <x:c r="G16" s="42" t="str">
        <x:v>Used</x:v>
      </x:c>
      <x:c r="H16" s="43" t="str">
        <x:v>Temporary motor mounts</x:v>
      </x:c>
    </x:row>
    <x:row r="17" ht="28" customHeight="1">
      <x:c r="A17" s="63" t="n">
        <x:v>13</x:v>
      </x:c>
      <x:c r="B17" s="38" t="str">
        <x:v>Wire and connectors</x:v>
      </x:c>
      <x:c r="C17" s="66"/>
      <x:c r="D17" s="69" t="n">
        <x:v>3</x:v>
      </x:c>
      <x:c r="E17" s="69" t="n">
        <x:f>IF(C17="",D17,C17*D17)</x:f>
        <x:v>3</x:v>
      </x:c>
      <x:c r="F17" s="44" t="str">
        <x:v>Assorted</x:v>
      </x:c>
      <x:c r="G17" s="44" t="str">
        <x:v>Used</x:v>
      </x:c>
      <x:c r="H17" s="45" t="str">
        <x:v>Estimated lot cost</x:v>
      </x:c>
    </x:row>
    <x:row r="18">
      <x:c r="D18" s="70"/>
      <x:c r="E18" s="70"/>
    </x:row>
    <x:row r="19" ht="30" customHeight="1">
      <x:c r="A19" s="49" t="str">
        <x:v>Represented hardware total</x:v>
      </x:c>
      <x:c r="B19" s="49"/>
      <x:c r="C19" s="49"/>
      <x:c r="D19" s="71"/>
      <x:c r="E19" s="71" t="n">
        <x:f>SUM(E5:E17)</x:f>
        <x:v>110.19999999999999</x:v>
      </x:c>
      <x:c r="F19" s="49" t="str">
        <x:v>Reused parts kept new purchases within the $100 course budget.</x:v>
      </x:c>
      <x:c r="G19" s="49"/>
      <x:c r="H19" s="49"/>
    </x:row>
  </x:sheetData>
  <x:mergeCells>
    <x:mergeCell ref="A1:H1"/>
    <x:mergeCell ref="A2:H2"/>
    <x:mergeCell ref="A19:D19"/>
    <x:mergeCell ref="F19:H19"/>
  </x:mergeCells>
  <x:pageMargins left="0.7" right="0.7" top="0.75" bottom="0.75" header="0.3" footer="0.3"/>
  <x:tableParts count="1">
    <x:tablePart xmlns:r="http://schemas.openxmlformats.org/officeDocument/2006/relationships" r:id="R6d06ea6381524e45"/>
  </x:tableParts>
</x:worksheet>
</file>